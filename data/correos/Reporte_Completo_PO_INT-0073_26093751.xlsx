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_PO" sheetId="1" state="visible" r:id="rId1"/>
    <sheet name="Avance_Detalle_Piezas" sheetId="2" state="visible" r:id="rId2"/>
    <sheet name="Lista_de_Piezas_Precios" sheetId="3" state="visible" r:id="rId3"/>
  </sheets>
  <definedNames>
    <definedName name="_xlnm._FilterDatabase" localSheetId="1" hidden="1">'Avance_Detalle_Piezas'!$A$4:$P$5</definedName>
    <definedName name="_xlnm._FilterDatabase" localSheetId="2" hidden="1">'Lista_de_Piezas_Precios'!$A$4:$K$5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 &quot;pzas&quot;"/>
    <numFmt numFmtId="166" formatCode="0.0%"/>
    <numFmt numFmtId="167" formatCode="&quot;$&quot;#,##0.00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.5"/>
    </font>
    <font>
      <name val="Calibri"/>
      <b val="1"/>
      <color rgb="000F172A"/>
      <sz val="9.5"/>
    </font>
    <font>
      <name val="Calibri"/>
      <b val="1"/>
      <color rgb="000F172A"/>
      <sz val="10"/>
    </font>
    <font>
      <name val="Calibri"/>
      <b val="1"/>
      <color rgb="001D4ED8"/>
      <sz val="10"/>
    </font>
    <font>
      <name val="Calibri"/>
      <b val="1"/>
      <color rgb="00B45309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0F172A"/>
      <sz val="11"/>
    </font>
    <font>
      <name val="Calibri"/>
      <b val="1"/>
      <color rgb="00FFFFFF"/>
      <sz val="10"/>
    </font>
    <font>
      <name val="Calibri"/>
      <b val="1"/>
      <color rgb="00EC2024"/>
      <sz val="10"/>
    </font>
    <font>
      <name val="Calibri"/>
      <b val="1"/>
      <color rgb="00334155"/>
      <sz val="10"/>
    </font>
    <font>
      <name val="Calibri"/>
      <color rgb="0064748B"/>
      <sz val="9.5"/>
    </font>
    <font>
      <name val="Calibri"/>
      <b val="1"/>
      <color rgb="00DC2626"/>
      <sz val="9.5"/>
    </font>
    <font>
      <name val="Calibri"/>
      <color rgb="00475569"/>
      <sz val="10"/>
    </font>
    <font>
      <name val="Calibri"/>
      <b val="1"/>
      <color rgb="0064748B"/>
      <sz val="9.5"/>
    </font>
    <font>
      <name val="Calibri"/>
      <b val="1"/>
      <color rgb="001E40AF"/>
      <sz val="10.5"/>
    </font>
    <font>
      <name val="Calibri"/>
      <b val="1"/>
      <color rgb="0015803D"/>
      <sz val="10.5"/>
    </font>
    <font>
      <name val="Calibri"/>
      <color rgb="001E3A8A"/>
      <sz val="9.5"/>
    </font>
    <font>
      <name val="Calibri"/>
      <b val="1"/>
      <color rgb="00475569"/>
      <sz val="9.5"/>
    </font>
    <font>
      <name val="Calibri"/>
      <b val="1"/>
      <color rgb="002563EB"/>
      <sz val="9.5"/>
    </font>
    <font>
      <name val="Calibri"/>
      <color rgb="00334155"/>
      <sz val="9"/>
    </font>
    <font>
      <name val="Calibri"/>
      <b val="1"/>
      <color rgb="001D4ED8"/>
      <sz val="9"/>
    </font>
    <font>
      <name val="Calibri"/>
      <color rgb="00312E81"/>
      <sz val="9.5"/>
    </font>
    <font>
      <name val="Calibri"/>
      <b val="1"/>
      <color rgb="004338CA"/>
      <sz val="9"/>
    </font>
    <font>
      <name val="Calibri"/>
      <color rgb="0078350F"/>
      <sz val="9.5"/>
    </font>
    <font>
      <name val="Calibri"/>
      <b val="1"/>
      <color rgb="00B45309"/>
      <sz val="9"/>
    </font>
    <font>
      <name val="Calibri"/>
      <color rgb="00064E3B"/>
      <sz val="9.5"/>
    </font>
    <font>
      <name val="Calibri"/>
      <b val="1"/>
      <color rgb="0015803D"/>
      <sz val="9"/>
    </font>
    <font>
      <name val="Calibri"/>
      <color rgb="007C2D12"/>
      <sz val="9.5"/>
    </font>
    <font>
      <name val="Calibri"/>
      <b val="1"/>
      <color rgb="00B91C1C"/>
      <sz val="9"/>
    </font>
    <font>
      <name val="Calibri"/>
      <color rgb="00475569"/>
      <sz val="9"/>
    </font>
    <font>
      <name val="Calibri"/>
      <b val="1"/>
      <color rgb="004338CA"/>
      <sz val="10"/>
    </font>
    <font>
      <name val="Calibri"/>
      <color rgb="00475569"/>
      <sz val="9.5"/>
    </font>
    <font>
      <name val="Calibri"/>
      <color rgb="0064748B"/>
      <sz val="8.5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78350F"/>
        <bgColor rgb="0078350F"/>
      </patternFill>
    </fill>
    <fill>
      <patternFill patternType="solid">
        <fgColor rgb="00064E3B"/>
        <bgColor rgb="00064E3B"/>
      </patternFill>
    </fill>
    <fill>
      <patternFill patternType="solid">
        <fgColor rgb="007C2D12"/>
        <bgColor rgb="007C2D12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  <bgColor rgb="00EEF2FF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3B82F6"/>
      </left>
      <right style="medium">
        <color rgb="003B82F6"/>
      </right>
      <top style="medium">
        <color rgb="003B82F6"/>
      </top>
      <bottom style="medium">
        <color rgb="003B82F6"/>
      </bottom>
    </border>
    <border>
      <left style="medium">
        <color rgb="00F59E0B"/>
      </left>
      <right style="medium">
        <color rgb="00F59E0B"/>
      </right>
      <top style="medium">
        <color rgb="00F59E0B"/>
      </top>
      <bottom style="medium">
        <color rgb="00F59E0B"/>
      </bottom>
    </border>
    <border>
      <left style="medium">
        <color rgb="0010B981"/>
      </left>
      <right style="medium">
        <color rgb="0010B981"/>
      </right>
      <top style="medium">
        <color rgb="0010B981"/>
      </top>
      <bottom style="medium">
        <color rgb="0010B981"/>
      </bottom>
    </border>
    <border>
      <left style="medium">
        <color rgb="00EF4444"/>
      </left>
      <right style="medium">
        <color rgb="00EF4444"/>
      </right>
      <top style="medium">
        <color rgb="00EF4444"/>
      </top>
      <bottom style="medium">
        <color rgb="00EF4444"/>
      </bottom>
    </border>
    <border>
      <left style="thin">
        <color rgb="00334155"/>
      </left>
      <right style="thin">
        <color rgb="00334155"/>
      </right>
      <bottom style="medium">
        <color rgb="00EC202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7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8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9" fillId="0" borderId="0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 wrapText="1"/>
    </xf>
    <xf numFmtId="0" fontId="10" fillId="2" borderId="7" applyAlignment="1" pivotButton="0" quotePrefix="0" xfId="0">
      <alignment horizontal="left" vertical="center" wrapText="1"/>
    </xf>
    <xf numFmtId="0" fontId="10" fillId="3" borderId="7" applyAlignment="1" pivotButton="0" quotePrefix="0" xfId="0">
      <alignment horizontal="right" vertical="center" wrapText="1"/>
    </xf>
    <xf numFmtId="0" fontId="10" fillId="9" borderId="7" applyAlignment="1" pivotButton="0" quotePrefix="0" xfId="0">
      <alignment horizontal="right" vertical="center" wrapText="1"/>
    </xf>
    <xf numFmtId="0" fontId="10" fillId="10" borderId="7" applyAlignment="1" pivotButton="0" quotePrefix="0" xfId="0">
      <alignment horizontal="right" vertical="center" wrapText="1"/>
    </xf>
    <xf numFmtId="0" fontId="10" fillId="11" borderId="7" applyAlignment="1" pivotButton="0" quotePrefix="0" xfId="0">
      <alignment horizontal="right" vertical="center" wrapText="1"/>
    </xf>
    <xf numFmtId="0" fontId="10" fillId="12" borderId="7" applyAlignment="1" pivotButton="0" quotePrefix="0" xfId="0">
      <alignment horizontal="right" vertical="center" wrapText="1"/>
    </xf>
    <xf numFmtId="0" fontId="10" fillId="2" borderId="7" applyAlignment="1" pivotButton="0" quotePrefix="0" xfId="0">
      <alignment horizontal="right" vertical="center" wrapText="1"/>
    </xf>
    <xf numFmtId="49" fontId="4" fillId="4" borderId="8" applyAlignment="1" pivotButton="0" quotePrefix="0" xfId="0">
      <alignment horizontal="center" vertical="center"/>
    </xf>
    <xf numFmtId="49" fontId="11" fillId="4" borderId="8" applyAlignment="1" pivotButton="0" quotePrefix="0" xfId="0">
      <alignment horizontal="center" vertical="center"/>
    </xf>
    <xf numFmtId="49" fontId="12" fillId="0" borderId="8" applyAlignment="1" pivotButton="0" quotePrefix="0" xfId="0">
      <alignment horizontal="left" vertical="center"/>
    </xf>
    <xf numFmtId="164" fontId="13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3" fontId="15" fillId="0" borderId="8" applyAlignment="1" pivotButton="0" quotePrefix="0" xfId="0">
      <alignment horizontal="center" vertical="center"/>
    </xf>
    <xf numFmtId="165" fontId="4" fillId="13" borderId="8" applyAlignment="1" pivotButton="0" quotePrefix="0" xfId="0">
      <alignment horizontal="right" vertical="center"/>
    </xf>
    <xf numFmtId="165" fontId="5" fillId="5" borderId="8" applyAlignment="1" pivotButton="0" quotePrefix="0" xfId="0">
      <alignment horizontal="right" vertical="center"/>
    </xf>
    <xf numFmtId="165" fontId="6" fillId="6" borderId="8" applyAlignment="1" pivotButton="0" quotePrefix="0" xfId="0">
      <alignment horizontal="right" vertical="center"/>
    </xf>
    <xf numFmtId="165" fontId="7" fillId="7" borderId="8" applyAlignment="1" pivotButton="0" quotePrefix="0" xfId="0">
      <alignment horizontal="right" vertical="center"/>
    </xf>
    <xf numFmtId="165" fontId="8" fillId="8" borderId="8" applyAlignment="1" pivotButton="0" quotePrefix="0" xfId="0">
      <alignment horizontal="right" vertical="center"/>
    </xf>
    <xf numFmtId="166" fontId="4" fillId="0" borderId="8" applyAlignment="1" pivotButton="0" quotePrefix="0" xfId="0">
      <alignment horizontal="right" vertical="center"/>
    </xf>
    <xf numFmtId="49" fontId="16" fillId="13" borderId="8" applyAlignment="1" pivotButton="0" quotePrefix="0" xfId="0">
      <alignment horizontal="center" vertical="center"/>
    </xf>
    <xf numFmtId="167" fontId="4" fillId="4" borderId="8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2" fillId="4" borderId="1" applyAlignment="1" pivotButton="0" quotePrefix="0" xfId="0">
      <alignment horizontal="left" vertical="center"/>
    </xf>
    <xf numFmtId="0" fontId="10" fillId="14" borderId="7" applyAlignment="1" pivotButton="0" quotePrefix="0" xfId="0">
      <alignment horizontal="right" vertical="center" wrapText="1"/>
    </xf>
    <xf numFmtId="3" fontId="20" fillId="15" borderId="8" applyAlignment="1" pivotButton="0" quotePrefix="0" xfId="0">
      <alignment horizontal="center" vertical="center"/>
    </xf>
    <xf numFmtId="49" fontId="3" fillId="15" borderId="8" applyAlignment="1" pivotButton="0" quotePrefix="0" xfId="0">
      <alignment horizontal="left" vertical="center"/>
    </xf>
    <xf numFmtId="49" fontId="21" fillId="15" borderId="8" applyAlignment="1" pivotButton="0" quotePrefix="0" xfId="0">
      <alignment horizontal="left" vertical="center"/>
    </xf>
    <xf numFmtId="49" fontId="22" fillId="15" borderId="8" applyAlignment="1" pivotButton="0" quotePrefix="0" xfId="0">
      <alignment horizontal="left" vertical="center"/>
    </xf>
    <xf numFmtId="3" fontId="3" fillId="13" borderId="8" applyAlignment="1" pivotButton="0" quotePrefix="0" xfId="0">
      <alignment horizontal="right" vertical="center"/>
    </xf>
    <xf numFmtId="3" fontId="19" fillId="15" borderId="8" applyAlignment="1" pivotButton="0" quotePrefix="0" xfId="0">
      <alignment horizontal="right" vertical="center"/>
    </xf>
    <xf numFmtId="166" fontId="23" fillId="15" borderId="8" applyAlignment="1" pivotButton="0" quotePrefix="0" xfId="0">
      <alignment horizontal="right" vertical="center"/>
    </xf>
    <xf numFmtId="3" fontId="24" fillId="15" borderId="8" applyAlignment="1" pivotButton="0" quotePrefix="0" xfId="0">
      <alignment horizontal="right" vertical="center"/>
    </xf>
    <xf numFmtId="166" fontId="25" fillId="15" borderId="8" applyAlignment="1" pivotButton="0" quotePrefix="0" xfId="0">
      <alignment horizontal="right" vertical="center"/>
    </xf>
    <xf numFmtId="3" fontId="26" fillId="15" borderId="8" applyAlignment="1" pivotButton="0" quotePrefix="0" xfId="0">
      <alignment horizontal="right" vertical="center"/>
    </xf>
    <xf numFmtId="166" fontId="27" fillId="15" borderId="8" applyAlignment="1" pivotButton="0" quotePrefix="0" xfId="0">
      <alignment horizontal="right" vertical="center"/>
    </xf>
    <xf numFmtId="3" fontId="28" fillId="15" borderId="8" applyAlignment="1" pivotButton="0" quotePrefix="0" xfId="0">
      <alignment horizontal="right" vertical="center"/>
    </xf>
    <xf numFmtId="166" fontId="29" fillId="15" borderId="8" applyAlignment="1" pivotButton="0" quotePrefix="0" xfId="0">
      <alignment horizontal="right" vertical="center"/>
    </xf>
    <xf numFmtId="3" fontId="30" fillId="15" borderId="8" applyAlignment="1" pivotButton="0" quotePrefix="0" xfId="0">
      <alignment horizontal="right" vertical="center"/>
    </xf>
    <xf numFmtId="166" fontId="31" fillId="15" borderId="8" applyAlignment="1" pivotButton="0" quotePrefix="0" xfId="0">
      <alignment horizontal="right" vertical="center"/>
    </xf>
    <xf numFmtId="49" fontId="32" fillId="13" borderId="8" applyAlignment="1" pivotButton="0" quotePrefix="0" xfId="0">
      <alignment horizontal="center" vertical="center"/>
    </xf>
    <xf numFmtId="0" fontId="4" fillId="13" borderId="9" applyAlignment="1" pivotButton="0" quotePrefix="0" xfId="0">
      <alignment horizontal="center" vertical="center"/>
    </xf>
    <xf numFmtId="0" fontId="0" fillId="13" borderId="9" pivotButton="0" quotePrefix="0" xfId="0"/>
    <xf numFmtId="165" fontId="4" fillId="13" borderId="9" applyAlignment="1" pivotButton="0" quotePrefix="0" xfId="0">
      <alignment horizontal="right" vertical="center"/>
    </xf>
    <xf numFmtId="165" fontId="5" fillId="5" borderId="9" applyAlignment="1" pivotButton="0" quotePrefix="0" xfId="0">
      <alignment horizontal="right" vertical="center"/>
    </xf>
    <xf numFmtId="166" fontId="5" fillId="5" borderId="9" applyAlignment="1" pivotButton="0" quotePrefix="0" xfId="0">
      <alignment horizontal="right" vertical="center"/>
    </xf>
    <xf numFmtId="165" fontId="33" fillId="16" borderId="9" applyAlignment="1" pivotButton="0" quotePrefix="0" xfId="0">
      <alignment horizontal="right" vertical="center"/>
    </xf>
    <xf numFmtId="166" fontId="33" fillId="16" borderId="9" applyAlignment="1" pivotButton="0" quotePrefix="0" xfId="0">
      <alignment horizontal="right" vertical="center"/>
    </xf>
    <xf numFmtId="165" fontId="6" fillId="6" borderId="9" applyAlignment="1" pivotButton="0" quotePrefix="0" xfId="0">
      <alignment horizontal="right" vertical="center"/>
    </xf>
    <xf numFmtId="166" fontId="6" fillId="6" borderId="9" applyAlignment="1" pivotButton="0" quotePrefix="0" xfId="0">
      <alignment horizontal="right" vertical="center"/>
    </xf>
    <xf numFmtId="165" fontId="7" fillId="7" borderId="9" applyAlignment="1" pivotButton="0" quotePrefix="0" xfId="0">
      <alignment horizontal="right" vertical="center"/>
    </xf>
    <xf numFmtId="166" fontId="7" fillId="7" borderId="9" applyAlignment="1" pivotButton="0" quotePrefix="0" xfId="0">
      <alignment horizontal="right" vertical="center"/>
    </xf>
    <xf numFmtId="165" fontId="8" fillId="8" borderId="9" applyAlignment="1" pivotButton="0" quotePrefix="0" xfId="0">
      <alignment horizontal="right" vertical="center"/>
    </xf>
    <xf numFmtId="166" fontId="8" fillId="8" borderId="9" applyAlignment="1" pivotButton="0" quotePrefix="0" xfId="0">
      <alignment horizontal="right" vertical="center"/>
    </xf>
    <xf numFmtId="49" fontId="4" fillId="13" borderId="9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10" fillId="3" borderId="7" applyAlignment="1" pivotButton="0" quotePrefix="0" xfId="0">
      <alignment horizontal="left" vertical="center"/>
    </xf>
    <xf numFmtId="0" fontId="10" fillId="3" borderId="7" applyAlignment="1" pivotButton="0" quotePrefix="0" xfId="0">
      <alignment horizontal="right" vertical="center"/>
    </xf>
    <xf numFmtId="3" fontId="34" fillId="15" borderId="8" applyAlignment="1" pivotButton="0" quotePrefix="0" xfId="0">
      <alignment horizontal="center" vertical="center"/>
    </xf>
    <xf numFmtId="165" fontId="3" fillId="15" borderId="8" applyAlignment="1" pivotButton="0" quotePrefix="0" xfId="0">
      <alignment horizontal="right" vertical="center"/>
    </xf>
    <xf numFmtId="49" fontId="0" fillId="15" borderId="8" applyAlignment="1" pivotButton="0" quotePrefix="0" xfId="0">
      <alignment horizontal="center" vertical="center"/>
    </xf>
    <xf numFmtId="167" fontId="0" fillId="15" borderId="8" applyAlignment="1" pivotButton="0" quotePrefix="0" xfId="0">
      <alignment horizontal="right" vertical="center"/>
    </xf>
    <xf numFmtId="167" fontId="3" fillId="15" borderId="8" applyAlignment="1" pivotButton="0" quotePrefix="0" xfId="0">
      <alignment horizontal="right" vertical="center"/>
    </xf>
    <xf numFmtId="164" fontId="0" fillId="15" borderId="8" applyAlignment="1" pivotButton="0" quotePrefix="0" xfId="0">
      <alignment horizontal="center" vertical="center"/>
    </xf>
    <xf numFmtId="49" fontId="35" fillId="15" borderId="8" applyAlignment="1" pivotButton="0" quotePrefix="0" xfId="0">
      <alignment horizontal="left" vertical="center"/>
    </xf>
    <xf numFmtId="167" fontId="4" fillId="13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4" customWidth="1" min="5" max="5"/>
    <col width="10" customWidth="1" min="6" max="6"/>
    <col width="1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28" customHeight="1">
      <c r="A1" s="1" t="inlineStr">
        <is>
          <t>INDUSTRIA SIGRAMA S.A. DE C.V.  —  REPORTE EJECUTIVO Y TRAZABILIDAD 360°</t>
        </is>
      </c>
    </row>
    <row r="2" ht="20" customHeight="1">
      <c r="A2" s="2" t="inlineStr">
        <is>
          <t>Reporte Oficial de Estatus para Cliente | Orden de Compra: 26093751 | Proyecto Interno: INT-0073 | Emisión: 15/09/2026 17:11</t>
        </is>
      </c>
    </row>
    <row r="3" ht="6" customHeight="1"/>
    <row r="4" ht="22" customHeight="1">
      <c r="A4" s="3" t="inlineStr">
        <is>
          <t>No. Proyecto Interno: INT-0073</t>
        </is>
      </c>
      <c r="B4" s="4" t="n"/>
      <c r="C4" s="4" t="n"/>
      <c r="D4" s="3" t="inlineStr">
        <is>
          <t>Orden de Compra (PO): 26093751</t>
        </is>
      </c>
      <c r="E4" s="4" t="n"/>
      <c r="F4" s="4" t="n"/>
      <c r="G4" s="3" t="inlineStr">
        <is>
          <t>Proyecto: ALM SWBD CDC 672</t>
        </is>
      </c>
      <c r="H4" s="4" t="n"/>
      <c r="I4" s="4" t="n"/>
      <c r="J4" s="4" t="n"/>
      <c r="K4" s="3" t="inlineStr">
        <is>
          <t>Estatus 360°: ⚪ Registrada (En Espera)</t>
        </is>
      </c>
      <c r="L4" s="4" t="n"/>
      <c r="M4" s="4" t="n"/>
      <c r="N4" s="4" t="n"/>
    </row>
    <row r="5" ht="22" customHeight="1">
      <c r="A5" s="3" t="inlineStr">
        <is>
          <t>Comprador: Alejandra Arellano Machado</t>
        </is>
      </c>
      <c r="B5" s="4" t="n"/>
      <c r="C5" s="4" t="n"/>
      <c r="D5" s="3" t="inlineStr">
        <is>
          <t>Solicitante / Cliente: MAURICIO DOMINGUEZ</t>
        </is>
      </c>
      <c r="E5" s="4" t="n"/>
      <c r="F5" s="4" t="n"/>
      <c r="G5" s="3" t="inlineStr">
        <is>
          <t>Fecha Llegada PO: 2026-09-15</t>
        </is>
      </c>
      <c r="H5" s="4" t="n"/>
      <c r="I5" s="4" t="n"/>
      <c r="J5" s="4" t="n"/>
      <c r="K5" s="3" t="inlineStr">
        <is>
          <t>Fecha Entrega Req.: 18/09/2026</t>
        </is>
      </c>
      <c r="L5" s="4" t="n"/>
      <c r="M5" s="4" t="n"/>
      <c r="N5" s="4" t="n"/>
    </row>
    <row r="6" ht="8" customHeight="1"/>
    <row r="7" ht="36" customHeight="1">
      <c r="A7" s="5" t="inlineStr">
        <is>
          <t>1. REQUERIDAS
1 pzas</t>
        </is>
      </c>
      <c r="B7" s="6" t="n"/>
      <c r="C7" s="7" t="inlineStr">
        <is>
          <t>2. FABRICADAS (Planta)
0 pzas (0.0%)</t>
        </is>
      </c>
      <c r="D7" s="8" t="n"/>
      <c r="E7" s="8" t="n"/>
      <c r="F7" s="9" t="inlineStr">
        <is>
          <t>3. ENTARIMADAS (Almacén PT)
0 pzas (0.0%)</t>
        </is>
      </c>
      <c r="G7" s="10" t="n"/>
      <c r="H7" s="10" t="n"/>
      <c r="I7" s="11" t="inlineStr">
        <is>
          <t>4. REMISIONADAS (Despachadas)
0 pzas (0.0%)</t>
        </is>
      </c>
      <c r="J7" s="12" t="n"/>
      <c r="K7" s="12" t="n"/>
      <c r="L7" s="13" t="inlineStr">
        <is>
          <t>5. PENDIENTES
1 pzas</t>
        </is>
      </c>
      <c r="M7" s="14" t="n"/>
      <c r="N7" s="14" t="n"/>
    </row>
    <row r="8" ht="10" customHeight="1"/>
    <row r="9" ht="22" customHeight="1">
      <c r="A9" s="15" t="inlineStr">
        <is>
          <t>VISTA CONSOLIDADA DE LA ORDEN DE COMPRA (TABLA GENERAL 360°)</t>
        </is>
      </c>
    </row>
    <row r="10" ht="26" customHeight="1">
      <c r="A10" s="16" t="inlineStr">
        <is>
          <t>ID Interno</t>
        </is>
      </c>
      <c r="B10" s="16" t="inlineStr">
        <is>
          <t>PO / Folio</t>
        </is>
      </c>
      <c r="C10" s="17" t="inlineStr">
        <is>
          <t>Proyecto</t>
        </is>
      </c>
      <c r="D10" s="16" t="inlineStr">
        <is>
          <t>Fecha Llegada</t>
        </is>
      </c>
      <c r="E10" s="16" t="inlineStr">
        <is>
          <t>Fecha Entrega</t>
        </is>
      </c>
      <c r="F10" s="16" t="inlineStr">
        <is>
          <t>Part. #</t>
        </is>
      </c>
      <c r="G10" s="18" t="inlineStr">
        <is>
          <t>1. Req. (PO)</t>
        </is>
      </c>
      <c r="H10" s="19" t="inlineStr">
        <is>
          <t>2. Fabricadas</t>
        </is>
      </c>
      <c r="I10" s="20" t="inlineStr">
        <is>
          <t>3. Entarimadas</t>
        </is>
      </c>
      <c r="J10" s="21" t="inlineStr">
        <is>
          <t>4. Remisionadas</t>
        </is>
      </c>
      <c r="K10" s="22" t="inlineStr">
        <is>
          <t>5. Pendientes</t>
        </is>
      </c>
      <c r="L10" s="23" t="inlineStr">
        <is>
          <t>% Cumplimiento</t>
        </is>
      </c>
      <c r="M10" s="16" t="inlineStr">
        <is>
          <t>Estatus Entrega</t>
        </is>
      </c>
      <c r="N10" s="23" t="inlineStr">
        <is>
          <t>Importe Total ($)</t>
        </is>
      </c>
    </row>
    <row r="11" ht="24" customHeight="1">
      <c r="A11" s="24" t="inlineStr">
        <is>
          <t>INT-0073</t>
        </is>
      </c>
      <c r="B11" s="25" t="inlineStr">
        <is>
          <t>26093751</t>
        </is>
      </c>
      <c r="C11" s="26" t="inlineStr">
        <is>
          <t>ALM SWBD CDC 672</t>
        </is>
      </c>
      <c r="D11" s="27" t="inlineStr">
        <is>
          <t>2026-09-15</t>
        </is>
      </c>
      <c r="E11" s="28" t="inlineStr">
        <is>
          <t>18/09/2026</t>
        </is>
      </c>
      <c r="F11" s="29" t="n">
        <v>1</v>
      </c>
      <c r="G11" s="30" t="n">
        <v>1</v>
      </c>
      <c r="H11" s="31" t="n">
        <v>0</v>
      </c>
      <c r="I11" s="32" t="n">
        <v>0</v>
      </c>
      <c r="J11" s="33" t="n">
        <v>0</v>
      </c>
      <c r="K11" s="34" t="n">
        <v>1</v>
      </c>
      <c r="L11" s="35" t="n">
        <v>0</v>
      </c>
      <c r="M11" s="36" t="inlineStr">
        <is>
          <t>⚪ Registrada (En Espera)</t>
        </is>
      </c>
      <c r="N11" s="37" t="n">
        <v>628.04</v>
      </c>
    </row>
    <row r="12" ht="12" customHeight="1"/>
    <row r="13" ht="20" customHeight="1">
      <c r="A13" s="38" t="inlineStr">
        <is>
          <t>🔵 ÓRDENES DE FABRICACIÓN EN PLANTA (OFs)</t>
        </is>
      </c>
      <c r="H13" s="39" t="inlineStr">
        <is>
          <t>🚚 REMISIONES GENERADAS Y DESPACHOS (ALMACÉN)</t>
        </is>
      </c>
    </row>
    <row r="14" ht="18" customHeight="1">
      <c r="A14" s="40" t="inlineStr">
        <is>
          <t>🔹 OF 00073-PROD. GALV-P3-CAL.14</t>
        </is>
      </c>
      <c r="B14" s="41" t="n"/>
      <c r="C14" s="41" t="n"/>
      <c r="D14" s="41" t="n"/>
      <c r="E14" s="41" t="n"/>
      <c r="F14" s="41" t="n"/>
      <c r="G14" s="41" t="n"/>
      <c r="H14" s="42" t="inlineStr">
        <is>
          <t>Sin remisiones de entrega registradas</t>
        </is>
      </c>
      <c r="I14" s="41" t="n"/>
      <c r="J14" s="41" t="n"/>
      <c r="K14" s="41" t="n"/>
      <c r="L14" s="41" t="n"/>
      <c r="M14" s="41" t="n"/>
      <c r="N14" s="41" t="n"/>
    </row>
  </sheetData>
  <mergeCells count="20">
    <mergeCell ref="A9:N9"/>
    <mergeCell ref="A14:G14"/>
    <mergeCell ref="H13:N13"/>
    <mergeCell ref="G4:J4"/>
    <mergeCell ref="A1:N1"/>
    <mergeCell ref="A13:G13"/>
    <mergeCell ref="K4:N4"/>
    <mergeCell ref="H14:N14"/>
    <mergeCell ref="A7:B7"/>
    <mergeCell ref="A5:C5"/>
    <mergeCell ref="D4:F4"/>
    <mergeCell ref="C7:E7"/>
    <mergeCell ref="A4:C4"/>
    <mergeCell ref="K5:N5"/>
    <mergeCell ref="D5:F5"/>
    <mergeCell ref="A2:N2"/>
    <mergeCell ref="L7:N7"/>
    <mergeCell ref="F7:H7"/>
    <mergeCell ref="G5:J5"/>
    <mergeCell ref="I7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5" customWidth="1" min="13" max="13"/>
    <col width="14" customWidth="1" min="14" max="14"/>
    <col width="14" customWidth="1" min="15" max="15"/>
    <col width="22" customWidth="1" min="16" max="16"/>
  </cols>
  <sheetData>
    <row r="1" ht="28" customHeight="1">
      <c r="A1" s="1" t="inlineStr">
        <is>
          <t>INDUSTRIA SIGRAMA S.A. DE C.V.  —  AVANCE Y TRAZABILIDAD POR PIEZA (DESPIECE 360°)</t>
        </is>
      </c>
    </row>
    <row r="2" ht="20" customHeight="1">
      <c r="A2" s="2" t="inlineStr">
        <is>
          <t>Orden de Compra: 26093751 | Proyecto Interno: INT-0073 | Total Partidas: 1 | Avance en Vivo de Fabricación y Almacén</t>
        </is>
      </c>
    </row>
    <row r="3" ht="6" customHeight="1"/>
    <row r="4" ht="26" customHeight="1">
      <c r="A4" s="16" t="inlineStr">
        <is>
          <t>#</t>
        </is>
      </c>
      <c r="B4" s="17" t="inlineStr">
        <is>
          <t>SKU Cliente</t>
        </is>
      </c>
      <c r="C4" s="17" t="inlineStr">
        <is>
          <t>SKU Planta (Clave)</t>
        </is>
      </c>
      <c r="D4" s="17" t="inlineStr">
        <is>
          <t>Descripción del Producto</t>
        </is>
      </c>
      <c r="E4" s="18" t="inlineStr">
        <is>
          <t>Req. (PO)</t>
        </is>
      </c>
      <c r="F4" s="19" t="inlineStr">
        <is>
          <t>🔵 Cortado</t>
        </is>
      </c>
      <c r="G4" s="19" t="inlineStr">
        <is>
          <t>🔵 % Cortado</t>
        </is>
      </c>
      <c r="H4" s="43" t="inlineStr">
        <is>
          <t>🟣 Doblado</t>
        </is>
      </c>
      <c r="I4" s="43" t="inlineStr">
        <is>
          <t>🟣 % Doblado</t>
        </is>
      </c>
      <c r="J4" s="20" t="inlineStr">
        <is>
          <t>📦 Entarimado</t>
        </is>
      </c>
      <c r="K4" s="20" t="inlineStr">
        <is>
          <t>📦 % Entarimado</t>
        </is>
      </c>
      <c r="L4" s="21" t="inlineStr">
        <is>
          <t>🟢 Remisionadas</t>
        </is>
      </c>
      <c r="M4" s="21" t="inlineStr">
        <is>
          <t>🟢 % Remisionado</t>
        </is>
      </c>
      <c r="N4" s="22" t="inlineStr">
        <is>
          <t>⏳ Pendiente</t>
        </is>
      </c>
      <c r="O4" s="22" t="inlineStr">
        <is>
          <t>⏳ % Pendiente</t>
        </is>
      </c>
      <c r="P4" s="16" t="inlineStr">
        <is>
          <t>Estatus 360°</t>
        </is>
      </c>
    </row>
    <row r="5" ht="20" customHeight="1">
      <c r="A5" s="44" t="n">
        <v>1</v>
      </c>
      <c r="B5" s="45" t="inlineStr">
        <is>
          <t>SWB01524</t>
        </is>
      </c>
      <c r="C5" s="46" t="inlineStr">
        <is>
          <t>PP20204-12</t>
        </is>
      </c>
      <c r="D5" s="47" t="inlineStr">
        <is>
          <t>AUX COMP TOP PLATE</t>
        </is>
      </c>
      <c r="E5" s="48" t="n">
        <v>1</v>
      </c>
      <c r="F5" s="49" t="n">
        <v>0</v>
      </c>
      <c r="G5" s="50" t="n">
        <v>0</v>
      </c>
      <c r="H5" s="51" t="n">
        <v>0</v>
      </c>
      <c r="I5" s="52" t="n">
        <v>0</v>
      </c>
      <c r="J5" s="53" t="n">
        <v>0</v>
      </c>
      <c r="K5" s="54" t="n">
        <v>0</v>
      </c>
      <c r="L5" s="55" t="n">
        <v>0</v>
      </c>
      <c r="M5" s="56" t="n">
        <v>0</v>
      </c>
      <c r="N5" s="57" t="n">
        <v>1</v>
      </c>
      <c r="O5" s="58" t="n">
        <v>1</v>
      </c>
      <c r="P5" s="59" t="inlineStr">
        <is>
          <t>⚪ En Espera</t>
        </is>
      </c>
    </row>
    <row r="6" ht="24" customHeight="1">
      <c r="A6" s="60" t="inlineStr">
        <is>
          <t>TOTALES GENERALES CONSOLIDADOS</t>
        </is>
      </c>
      <c r="B6" s="61" t="n"/>
      <c r="C6" s="61" t="n"/>
      <c r="D6" s="61" t="n"/>
      <c r="E6" s="62">
        <f>SUM(E5:E5)</f>
        <v/>
      </c>
      <c r="F6" s="63">
        <f>SUM(F5:F5)</f>
        <v/>
      </c>
      <c r="G6" s="64">
        <f>F6/E6</f>
        <v/>
      </c>
      <c r="H6" s="65">
        <f>SUM(H5:H5)</f>
        <v/>
      </c>
      <c r="I6" s="66">
        <f>H6/E6</f>
        <v/>
      </c>
      <c r="J6" s="67">
        <f>SUM(J5:J5)</f>
        <v/>
      </c>
      <c r="K6" s="68">
        <f>J6/E6</f>
        <v/>
      </c>
      <c r="L6" s="69">
        <f>SUM(L5:L5)</f>
        <v/>
      </c>
      <c r="M6" s="70">
        <f>L6/E6</f>
        <v/>
      </c>
      <c r="N6" s="71">
        <f>SUM(N5:N5)</f>
        <v/>
      </c>
      <c r="O6" s="72">
        <f>N6/E6</f>
        <v/>
      </c>
      <c r="P6" s="73" t="n"/>
    </row>
  </sheetData>
  <autoFilter ref="A4:P5"/>
  <mergeCells count="3">
    <mergeCell ref="A1:P1"/>
    <mergeCell ref="A6:D6"/>
    <mergeCell ref="A2:P2"/>
  </mergeCells>
  <conditionalFormatting sqref="G5">
    <cfRule type="dataBar" priority="1">
      <dataBar>
        <cfvo type="num" val="0"/>
        <cfvo type="num" val="1"/>
        <color rgb="005B9BD5"/>
      </dataBar>
    </cfRule>
  </conditionalFormatting>
  <conditionalFormatting sqref="I5">
    <cfRule type="dataBar" priority="2">
      <dataBar>
        <cfvo type="num" val="0"/>
        <cfvo type="num" val="1"/>
        <color rgb="00818CF8"/>
      </dataBar>
    </cfRule>
  </conditionalFormatting>
  <conditionalFormatting sqref="K5">
    <cfRule type="dataBar" priority="3">
      <dataBar>
        <cfvo type="num" val="0"/>
        <cfvo type="num" val="1"/>
        <color rgb="00F59E0B"/>
      </dataBar>
    </cfRule>
  </conditionalFormatting>
  <conditionalFormatting sqref="M5">
    <cfRule type="dataBar" priority="4">
      <dataBar>
        <cfvo type="num" val="0"/>
        <cfvo type="num" val="1"/>
        <color rgb="0070AD47"/>
      </dataBar>
    </cfRule>
  </conditionalFormatting>
  <conditionalFormatting sqref="O5">
    <cfRule type="dataBar" priority="5">
      <dataBar>
        <cfvo type="num" val="0"/>
        <cfvo type="num" val="1"/>
        <color rgb="00F87171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8" customWidth="1" min="4" max="4"/>
    <col width="18" customWidth="1" min="5" max="5"/>
    <col width="10" customWidth="1" min="6" max="6"/>
    <col width="18" customWidth="1" min="7" max="7"/>
    <col width="18" customWidth="1" min="8" max="8"/>
    <col width="14" customWidth="1" min="9" max="9"/>
    <col width="24" customWidth="1" min="10" max="10"/>
    <col width="18" customWidth="1" min="11" max="11"/>
  </cols>
  <sheetData>
    <row r="1" ht="28" customHeight="1">
      <c r="A1" s="1" t="inlineStr">
        <is>
          <t>INDUSTRIA SIGRAMA S.A. DE C.V.  —  DESPIECE Y PRECIOS COMERCIALES DE LA ORDEN</t>
        </is>
      </c>
    </row>
    <row r="2" ht="20" customHeight="1">
      <c r="A2" s="2" t="inlineStr">
        <is>
          <t>PO: 26093751 | Proyecto: ALM SWBD CDC 672 | Solicitante: MAURICIO DOMINGUEZ | Importe Total: $628.04 MXN</t>
        </is>
      </c>
    </row>
    <row r="3" ht="6" customHeight="1"/>
    <row r="4" ht="26" customHeight="1">
      <c r="A4" s="74" t="inlineStr">
        <is>
          <t>Item #</t>
        </is>
      </c>
      <c r="B4" s="75" t="inlineStr">
        <is>
          <t>SKU Cliente</t>
        </is>
      </c>
      <c r="C4" s="75" t="inlineStr">
        <is>
          <t>SKU Planta</t>
        </is>
      </c>
      <c r="D4" s="75" t="inlineStr">
        <is>
          <t>Descripción del Producto</t>
        </is>
      </c>
      <c r="E4" s="76" t="inlineStr">
        <is>
          <t>Cantidad Requerida</t>
        </is>
      </c>
      <c r="F4" s="74" t="inlineStr">
        <is>
          <t>Unidad</t>
        </is>
      </c>
      <c r="G4" s="76" t="inlineStr">
        <is>
          <t>Precio Unitario ($)</t>
        </is>
      </c>
      <c r="H4" s="76" t="inlineStr">
        <is>
          <t>Precio Total ($)</t>
        </is>
      </c>
      <c r="I4" s="74" t="inlineStr">
        <is>
          <t>Fecha Entrega</t>
        </is>
      </c>
      <c r="J4" s="75" t="inlineStr">
        <is>
          <t>Parcialidad / Notas</t>
        </is>
      </c>
      <c r="K4" s="74" t="inlineStr">
        <is>
          <t>Estatus</t>
        </is>
      </c>
    </row>
    <row r="5" ht="19" customHeight="1">
      <c r="A5" s="77" t="n">
        <v>1</v>
      </c>
      <c r="B5" s="45" t="inlineStr">
        <is>
          <t>SWB01524</t>
        </is>
      </c>
      <c r="C5" s="46" t="inlineStr">
        <is>
          <t>PP20204-12</t>
        </is>
      </c>
      <c r="D5" s="47" t="inlineStr">
        <is>
          <t>AUX COMP TOP PLATE</t>
        </is>
      </c>
      <c r="E5" s="78" t="n">
        <v>1</v>
      </c>
      <c r="F5" s="79" t="inlineStr">
        <is>
          <t>PIEZA</t>
        </is>
      </c>
      <c r="G5" s="80" t="n">
        <v>541.41</v>
      </c>
      <c r="H5" s="81" t="n">
        <v>541.41</v>
      </c>
      <c r="I5" s="82" t="inlineStr">
        <is>
          <t>18/09/2026</t>
        </is>
      </c>
      <c r="J5" s="83" t="inlineStr">
        <is>
          <t>P1</t>
        </is>
      </c>
      <c r="K5" s="79" t="inlineStr">
        <is>
          <t>⚪ En Espera</t>
        </is>
      </c>
    </row>
    <row r="6" ht="22" customHeight="1">
      <c r="A6" s="60" t="inlineStr">
        <is>
          <t>TOTALES DE LA ORDEN DE COMPRA</t>
        </is>
      </c>
      <c r="B6" s="61" t="n"/>
      <c r="C6" s="61" t="n"/>
      <c r="D6" s="61" t="n"/>
      <c r="E6" s="62">
        <f>SUM(E5:E5)</f>
        <v/>
      </c>
      <c r="F6" s="61" t="n"/>
      <c r="G6" s="61" t="n"/>
      <c r="H6" s="84">
        <f>SUM(H5:H5)</f>
        <v/>
      </c>
      <c r="I6" s="61" t="n"/>
      <c r="J6" s="61" t="n"/>
      <c r="K6" s="61" t="n"/>
    </row>
  </sheetData>
  <autoFilter ref="A4:K5"/>
  <mergeCells count="3">
    <mergeCell ref="A2:K2"/>
    <mergeCell ref="A1:K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2026-09-15T17:11:42Z</dcterms:created>
  <dcterms:modified xsi:type="dcterms:W3CDTF">2026-09-15T17:11:42Z</dcterms:modified>
</cp:coreProperties>
</file>